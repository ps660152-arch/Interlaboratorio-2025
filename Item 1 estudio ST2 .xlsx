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iegopastorsanchez/Documents/Interlaboratorio/ITEM 1/Estudio ST2/"/>
    </mc:Choice>
  </mc:AlternateContent>
  <xr:revisionPtr revIDLastSave="0" documentId="13_ncr:1_{BA4D2E7A-31BA-9A46-B378-5386D9533CC4}" xr6:coauthVersionLast="47" xr6:coauthVersionMax="47" xr10:uidLastSave="{00000000-0000-0000-0000-000000000000}"/>
  <bookViews>
    <workbookView xWindow="140" yWindow="920" windowWidth="29080" windowHeight="18060" activeTab="5" xr2:uid="{00000000-000D-0000-FFFF-FFFF00000000}"/>
  </bookViews>
  <sheets>
    <sheet name="Eficacia Luminosa" sheetId="1" r:id="rId1"/>
    <sheet name="Flujo luminoso" sheetId="2" r:id="rId2"/>
    <sheet name="Temperatura de Color" sheetId="3" r:id="rId3"/>
    <sheet name="Factor de Potencia" sheetId="4" r:id="rId4"/>
    <sheet name="Indice de Rendimiento" sheetId="5" r:id="rId5"/>
    <sheet name="Distorsion Armonica" sheetId="6" r:id="rId6"/>
    <sheet name="Voltaje" sheetId="7" r:id="rId7"/>
    <sheet name="Corriente" sheetId="8" r:id="rId8"/>
    <sheet name="Potencia" sheetId="9" r:id="rId9"/>
    <sheet name="Temperatura" sheetId="10" r:id="rId10"/>
    <sheet name="Humedad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TSvlbCKLiMbHcVt0NBRvRpI67IH1bmQgRaY16ocqRgM="/>
    </ext>
  </extLst>
</workbook>
</file>

<file path=xl/calcChain.xml><?xml version="1.0" encoding="utf-8"?>
<calcChain xmlns="http://schemas.openxmlformats.org/spreadsheetml/2006/main">
  <c r="G7" i="8" l="1"/>
  <c r="G6" i="8"/>
  <c r="G5" i="8"/>
  <c r="G4" i="8"/>
  <c r="G3" i="8"/>
</calcChain>
</file>

<file path=xl/sharedStrings.xml><?xml version="1.0" encoding="utf-8"?>
<sst xmlns="http://schemas.openxmlformats.org/spreadsheetml/2006/main" count="286" uniqueCount="26">
  <si>
    <t>TRUPER</t>
  </si>
  <si>
    <t>OSCAR</t>
  </si>
  <si>
    <t>ITP</t>
  </si>
  <si>
    <t>ISB</t>
  </si>
  <si>
    <t>CANIETI</t>
  </si>
  <si>
    <t>ADIR LABOMEX</t>
  </si>
  <si>
    <t>ENERGAIN</t>
  </si>
  <si>
    <t>AKSI</t>
  </si>
  <si>
    <t>UL</t>
  </si>
  <si>
    <t>LABOTEC</t>
  </si>
  <si>
    <t>LABEYAT</t>
  </si>
  <si>
    <t>TYSSA</t>
  </si>
  <si>
    <t>ABR</t>
  </si>
  <si>
    <t>LENS_1</t>
  </si>
  <si>
    <t>LENS_2</t>
  </si>
  <si>
    <t>LENS_3</t>
  </si>
  <si>
    <t>LENS_4</t>
  </si>
  <si>
    <t>LENS_5</t>
  </si>
  <si>
    <t>LENS_6</t>
  </si>
  <si>
    <t>LENS_7</t>
  </si>
  <si>
    <t>LENS_8</t>
  </si>
  <si>
    <t>LENS_9</t>
  </si>
  <si>
    <t>LENS_10</t>
  </si>
  <si>
    <t>LENS_11</t>
  </si>
  <si>
    <t>LENS_12</t>
  </si>
  <si>
    <t>LENS_13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</si>
</sst>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G15" sqref="G15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 x14ac:dyDescent="0.2">
      <c r="B3" s="2"/>
      <c r="C3" s="1">
        <v>86.57</v>
      </c>
      <c r="D3" s="1"/>
      <c r="E3" s="1">
        <v>94.06</v>
      </c>
      <c r="F3" s="1">
        <v>89.94</v>
      </c>
      <c r="G3" s="3">
        <v>97.78</v>
      </c>
      <c r="H3" s="3">
        <v>103.22</v>
      </c>
      <c r="I3" s="3">
        <v>92.7</v>
      </c>
      <c r="J3" s="3">
        <v>100.4</v>
      </c>
      <c r="K3" s="3">
        <v>97.12</v>
      </c>
      <c r="L3" s="3"/>
      <c r="M3" s="3">
        <v>92.13</v>
      </c>
      <c r="N3" s="1">
        <v>90.69</v>
      </c>
    </row>
    <row r="4" spans="1:14" x14ac:dyDescent="0.2">
      <c r="B4" s="2"/>
      <c r="C4" s="1">
        <v>86.37</v>
      </c>
      <c r="D4" s="1"/>
      <c r="E4" s="1">
        <v>93.99</v>
      </c>
      <c r="F4" s="1">
        <v>89.87</v>
      </c>
      <c r="G4" s="3">
        <v>98.42</v>
      </c>
      <c r="H4" s="3">
        <v>102.83</v>
      </c>
      <c r="I4" s="3">
        <v>90.92</v>
      </c>
      <c r="J4" s="3">
        <v>100.532</v>
      </c>
      <c r="K4" s="3">
        <v>97.14</v>
      </c>
      <c r="L4" s="3"/>
      <c r="M4" s="3">
        <v>91.81</v>
      </c>
      <c r="N4" s="1">
        <v>91.03</v>
      </c>
    </row>
    <row r="5" spans="1:14" x14ac:dyDescent="0.2">
      <c r="B5" s="2"/>
      <c r="C5" s="1">
        <v>86.2</v>
      </c>
      <c r="D5" s="1"/>
      <c r="E5" s="1">
        <v>93.94</v>
      </c>
      <c r="F5" s="1">
        <v>89.66</v>
      </c>
      <c r="G5" s="3">
        <v>98.55</v>
      </c>
      <c r="H5" s="3">
        <v>103.22</v>
      </c>
      <c r="I5" s="3">
        <v>89.73</v>
      </c>
      <c r="J5" s="3">
        <v>100.626</v>
      </c>
      <c r="K5" s="3">
        <v>97.21</v>
      </c>
      <c r="L5" s="3"/>
      <c r="M5" s="3">
        <v>90.21</v>
      </c>
      <c r="N5" s="1">
        <v>90.23</v>
      </c>
    </row>
    <row r="6" spans="1:14" x14ac:dyDescent="0.2">
      <c r="B6" s="2"/>
      <c r="C6" s="1">
        <v>87.02</v>
      </c>
      <c r="D6" s="1"/>
      <c r="E6" s="1">
        <v>93.98</v>
      </c>
      <c r="F6" s="1">
        <v>89.94</v>
      </c>
      <c r="G6" s="3">
        <v>98.84</v>
      </c>
      <c r="H6" s="3">
        <v>103.79</v>
      </c>
      <c r="I6" s="3">
        <v>92.38</v>
      </c>
      <c r="J6" s="3">
        <v>100.636</v>
      </c>
      <c r="K6" s="3">
        <v>96.54</v>
      </c>
      <c r="L6" s="3"/>
      <c r="M6" s="3">
        <v>92</v>
      </c>
      <c r="N6" s="1">
        <v>90.21</v>
      </c>
    </row>
    <row r="7" spans="1:14" x14ac:dyDescent="0.2">
      <c r="B7" s="2"/>
      <c r="C7" s="1">
        <v>87.37</v>
      </c>
      <c r="D7" s="1"/>
      <c r="E7" s="1">
        <v>93.99</v>
      </c>
      <c r="F7" s="1">
        <v>89.97</v>
      </c>
      <c r="G7" s="3">
        <v>98.13</v>
      </c>
      <c r="H7" s="3">
        <v>103.79</v>
      </c>
      <c r="I7" s="3">
        <v>92.17</v>
      </c>
      <c r="J7" s="3">
        <v>100.434</v>
      </c>
      <c r="K7" s="3">
        <v>97.16</v>
      </c>
      <c r="L7" s="3"/>
      <c r="M7" s="3">
        <v>91.83</v>
      </c>
      <c r="N7" s="1">
        <v>89.96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selection activeCell="L3" sqref="L3:L7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 x14ac:dyDescent="0.2">
      <c r="B3" s="4">
        <v>4962.8999999999996</v>
      </c>
      <c r="C3" s="3">
        <v>3986.4</v>
      </c>
      <c r="D3" s="3"/>
      <c r="E3" s="3">
        <v>4301.3</v>
      </c>
      <c r="F3" s="3">
        <v>4173.0200000000004</v>
      </c>
      <c r="G3" s="3">
        <v>4592.04</v>
      </c>
      <c r="H3" s="3">
        <v>4941.7</v>
      </c>
      <c r="I3" s="3">
        <v>4292</v>
      </c>
      <c r="J3" s="3">
        <v>4640.8999999999996</v>
      </c>
      <c r="K3" s="3">
        <v>4478.3</v>
      </c>
      <c r="L3" s="3"/>
      <c r="N3" s="1">
        <v>4189.7</v>
      </c>
    </row>
    <row r="4" spans="1:14" x14ac:dyDescent="0.2">
      <c r="B4" s="4">
        <v>4966</v>
      </c>
      <c r="C4" s="3">
        <v>3984.1</v>
      </c>
      <c r="D4" s="3"/>
      <c r="E4" s="3">
        <v>4299.8999999999996</v>
      </c>
      <c r="F4" s="3">
        <v>4172.74</v>
      </c>
      <c r="G4" s="3">
        <v>4603.8999999999996</v>
      </c>
      <c r="H4" s="3">
        <v>4890</v>
      </c>
      <c r="I4" s="3">
        <v>4211</v>
      </c>
      <c r="J4" s="3">
        <v>4646.6000000000004</v>
      </c>
      <c r="K4" s="3">
        <v>4477.3999999999996</v>
      </c>
      <c r="L4" s="3"/>
      <c r="N4" s="1">
        <v>4205.41</v>
      </c>
    </row>
    <row r="5" spans="1:14" x14ac:dyDescent="0.2">
      <c r="B5" s="4">
        <v>4967.6000000000004</v>
      </c>
      <c r="C5" s="3">
        <v>3968.7</v>
      </c>
      <c r="D5" s="3"/>
      <c r="E5" s="3">
        <v>4298.6000000000004</v>
      </c>
      <c r="F5" s="3">
        <v>4166.45</v>
      </c>
      <c r="G5" s="3">
        <v>4621.37</v>
      </c>
      <c r="H5" s="3">
        <v>4869</v>
      </c>
      <c r="I5" s="3">
        <v>4157</v>
      </c>
      <c r="J5" s="3">
        <v>4648.8</v>
      </c>
      <c r="K5" s="3">
        <v>4480.6000000000004</v>
      </c>
      <c r="L5" s="3"/>
      <c r="N5" s="1">
        <v>4168.63</v>
      </c>
    </row>
    <row r="6" spans="1:14" x14ac:dyDescent="0.2">
      <c r="B6" s="4">
        <v>4960.6000000000004</v>
      </c>
      <c r="C6" s="3">
        <v>4008.9</v>
      </c>
      <c r="D6" s="3"/>
      <c r="E6" s="3">
        <v>4297.8</v>
      </c>
      <c r="F6" s="3">
        <v>4174.13</v>
      </c>
      <c r="G6" s="3">
        <v>4597.01</v>
      </c>
      <c r="H6" s="3">
        <v>4861</v>
      </c>
      <c r="I6" s="3">
        <v>4281</v>
      </c>
      <c r="J6" s="3">
        <v>4647.7</v>
      </c>
      <c r="K6" s="3">
        <v>4473.8</v>
      </c>
      <c r="L6" s="3"/>
      <c r="N6" s="1">
        <v>4167.8999999999996</v>
      </c>
    </row>
    <row r="7" spans="1:14" x14ac:dyDescent="0.2">
      <c r="B7" s="4">
        <v>4965.7</v>
      </c>
      <c r="C7" s="3">
        <v>4024.2</v>
      </c>
      <c r="D7" s="3"/>
      <c r="E7" s="3">
        <v>4297.2</v>
      </c>
      <c r="F7" s="3">
        <v>4171.79</v>
      </c>
      <c r="G7" s="3">
        <v>4597.54</v>
      </c>
      <c r="H7" s="3">
        <v>4847.2</v>
      </c>
      <c r="I7" s="3">
        <v>4271</v>
      </c>
      <c r="J7" s="3">
        <v>4640.3999999999996</v>
      </c>
      <c r="K7" s="3">
        <v>4478.3</v>
      </c>
      <c r="L7" s="3"/>
      <c r="N7" s="1">
        <v>4156.0200000000004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topLeftCell="E1" workbookViewId="0">
      <selection activeCell="L3" sqref="L3:M7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 x14ac:dyDescent="0.2">
      <c r="B3" s="4"/>
      <c r="C3" s="3">
        <v>6509.53</v>
      </c>
      <c r="E3" s="3">
        <v>6448</v>
      </c>
      <c r="F3" s="3"/>
      <c r="G3" s="3">
        <v>6430</v>
      </c>
      <c r="H3" s="3">
        <v>6455</v>
      </c>
      <c r="I3" s="3"/>
      <c r="J3" s="3">
        <v>6446</v>
      </c>
      <c r="K3" s="3">
        <v>6455</v>
      </c>
      <c r="L3" s="3"/>
      <c r="M3" s="3"/>
      <c r="N3" s="1">
        <v>6410</v>
      </c>
    </row>
    <row r="4" spans="1:14" x14ac:dyDescent="0.2">
      <c r="B4" s="4"/>
      <c r="C4" s="3">
        <v>6512.07</v>
      </c>
      <c r="E4" s="3">
        <v>6480</v>
      </c>
      <c r="F4" s="3"/>
      <c r="G4" s="3">
        <v>6420</v>
      </c>
      <c r="H4" s="3">
        <v>6500</v>
      </c>
      <c r="I4" s="3"/>
      <c r="J4" s="3">
        <v>6446</v>
      </c>
      <c r="K4" s="3">
        <v>6464</v>
      </c>
      <c r="L4" s="3"/>
      <c r="M4" s="3"/>
      <c r="N4" s="1">
        <v>6418</v>
      </c>
    </row>
    <row r="5" spans="1:14" x14ac:dyDescent="0.2">
      <c r="B5" s="4"/>
      <c r="C5" s="3">
        <v>6510.2</v>
      </c>
      <c r="E5" s="3">
        <v>6440</v>
      </c>
      <c r="F5" s="3"/>
      <c r="G5" s="3">
        <v>6414</v>
      </c>
      <c r="H5" s="3">
        <v>6493</v>
      </c>
      <c r="I5" s="3"/>
      <c r="J5" s="3">
        <v>6447</v>
      </c>
      <c r="K5" s="3">
        <v>6466</v>
      </c>
      <c r="L5" s="3"/>
      <c r="M5" s="3"/>
      <c r="N5" s="1">
        <v>6420</v>
      </c>
    </row>
    <row r="6" spans="1:14" x14ac:dyDescent="0.2">
      <c r="B6" s="4"/>
      <c r="C6" s="3">
        <v>6503.1</v>
      </c>
      <c r="E6" s="3">
        <v>6448</v>
      </c>
      <c r="F6" s="3"/>
      <c r="G6" s="3">
        <v>6428</v>
      </c>
      <c r="H6" s="3">
        <v>6489</v>
      </c>
      <c r="I6" s="3"/>
      <c r="J6" s="3">
        <v>6444</v>
      </c>
      <c r="K6" s="3">
        <v>6480</v>
      </c>
      <c r="L6" s="3"/>
      <c r="M6" s="3"/>
      <c r="N6" s="1">
        <v>6418</v>
      </c>
    </row>
    <row r="7" spans="1:14" x14ac:dyDescent="0.2">
      <c r="B7" s="4"/>
      <c r="C7" s="3">
        <v>6506.7</v>
      </c>
      <c r="E7" s="3">
        <v>6470</v>
      </c>
      <c r="F7" s="3"/>
      <c r="G7" s="3">
        <v>6412</v>
      </c>
      <c r="H7" s="3">
        <v>6486</v>
      </c>
      <c r="I7" s="3"/>
      <c r="J7" s="3">
        <v>6442</v>
      </c>
      <c r="K7" s="3">
        <v>6481</v>
      </c>
      <c r="L7" s="3"/>
      <c r="M7" s="3"/>
      <c r="N7" s="1">
        <v>6418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>
      <selection activeCell="K12" sqref="K12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 x14ac:dyDescent="0.2">
      <c r="B3" s="4">
        <v>0.92</v>
      </c>
      <c r="C3" s="3"/>
      <c r="D3" s="3"/>
      <c r="E3" s="3">
        <v>0.92</v>
      </c>
      <c r="F3" s="3">
        <v>0.92300000000000004</v>
      </c>
      <c r="G3" s="3"/>
      <c r="H3" s="3"/>
      <c r="I3" s="3">
        <v>0.92300000000000004</v>
      </c>
      <c r="J3" s="3">
        <v>0.92</v>
      </c>
      <c r="K3" s="3">
        <v>0.9214</v>
      </c>
      <c r="L3" s="3"/>
      <c r="M3" s="3">
        <v>0.92</v>
      </c>
      <c r="N3" s="1">
        <v>0.91890000000000005</v>
      </c>
    </row>
    <row r="4" spans="1:14" x14ac:dyDescent="0.2">
      <c r="B4" s="4">
        <v>0.92</v>
      </c>
      <c r="C4" s="3"/>
      <c r="D4" s="3"/>
      <c r="E4" s="3">
        <v>0.92</v>
      </c>
      <c r="F4" s="3">
        <v>0.92300000000000004</v>
      </c>
      <c r="G4" s="3"/>
      <c r="H4" s="3"/>
      <c r="I4" s="3">
        <v>0.92300000000000004</v>
      </c>
      <c r="J4" s="3">
        <v>0.92100000000000004</v>
      </c>
      <c r="K4" s="3">
        <v>0.9214</v>
      </c>
      <c r="L4" s="3"/>
      <c r="M4" s="3">
        <v>0.92</v>
      </c>
      <c r="N4" s="1">
        <v>0.91890000000000005</v>
      </c>
    </row>
    <row r="5" spans="1:14" x14ac:dyDescent="0.2">
      <c r="B5" s="4">
        <v>0.92</v>
      </c>
      <c r="C5" s="3"/>
      <c r="D5" s="3"/>
      <c r="E5" s="3">
        <v>0.92</v>
      </c>
      <c r="F5" s="3">
        <v>0.92300000000000004</v>
      </c>
      <c r="G5" s="3"/>
      <c r="H5" s="3"/>
      <c r="I5" s="3">
        <v>0.92300000000000004</v>
      </c>
      <c r="J5" s="3">
        <v>0.92100000000000004</v>
      </c>
      <c r="K5" s="3">
        <v>0.92149999999999999</v>
      </c>
      <c r="L5" s="3"/>
      <c r="M5" s="3">
        <v>0.92</v>
      </c>
      <c r="N5" s="1">
        <v>0.91890000000000005</v>
      </c>
    </row>
    <row r="6" spans="1:14" x14ac:dyDescent="0.2">
      <c r="B6" s="4">
        <v>0.92</v>
      </c>
      <c r="C6" s="3"/>
      <c r="D6" s="3"/>
      <c r="E6" s="3">
        <v>0.92</v>
      </c>
      <c r="F6" s="3">
        <v>0.92300000000000004</v>
      </c>
      <c r="G6" s="3"/>
      <c r="H6" s="3"/>
      <c r="I6" s="3">
        <v>0.92300000000000004</v>
      </c>
      <c r="J6" s="3">
        <v>0.92100000000000004</v>
      </c>
      <c r="K6" s="3">
        <v>0.92259999999999998</v>
      </c>
      <c r="L6" s="3"/>
      <c r="M6" s="3">
        <v>0.92</v>
      </c>
      <c r="N6" s="1">
        <v>0.91890000000000005</v>
      </c>
    </row>
    <row r="7" spans="1:14" x14ac:dyDescent="0.2">
      <c r="B7" s="4">
        <v>0.92</v>
      </c>
      <c r="C7" s="3"/>
      <c r="D7" s="3"/>
      <c r="E7" s="3">
        <v>0.92</v>
      </c>
      <c r="F7" s="3">
        <v>0.92300000000000004</v>
      </c>
      <c r="G7" s="3"/>
      <c r="H7" s="3"/>
      <c r="I7" s="3">
        <v>0.92300000000000004</v>
      </c>
      <c r="J7" s="3">
        <v>0.92100000000000004</v>
      </c>
      <c r="K7" s="3">
        <v>0.92130000000000001</v>
      </c>
      <c r="L7" s="3"/>
      <c r="M7" s="3">
        <v>0.92</v>
      </c>
      <c r="N7" s="1">
        <v>0.91890000000000005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workbookViewId="0">
      <selection activeCell="H15" sqref="H15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 x14ac:dyDescent="0.2">
      <c r="B3" s="4">
        <v>84.5</v>
      </c>
      <c r="C3" s="3">
        <v>84.6</v>
      </c>
      <c r="E3" s="3"/>
      <c r="F3" s="3"/>
      <c r="G3" s="3"/>
      <c r="H3" s="3">
        <v>84.6</v>
      </c>
      <c r="I3" s="3"/>
      <c r="J3" s="3">
        <v>84.441999999999993</v>
      </c>
      <c r="K3" s="3">
        <v>84.5</v>
      </c>
      <c r="L3" s="3">
        <v>84.4</v>
      </c>
      <c r="M3" s="3">
        <v>83.6</v>
      </c>
      <c r="N3" s="1">
        <v>84.2</v>
      </c>
    </row>
    <row r="4" spans="1:14" x14ac:dyDescent="0.2">
      <c r="B4" s="4">
        <v>84.6</v>
      </c>
      <c r="C4" s="3">
        <v>84.6</v>
      </c>
      <c r="E4" s="3"/>
      <c r="F4" s="3"/>
      <c r="G4" s="3"/>
      <c r="H4" s="3">
        <v>84.7</v>
      </c>
      <c r="I4" s="3"/>
      <c r="J4" s="3">
        <v>84.47</v>
      </c>
      <c r="K4" s="3">
        <v>84.6</v>
      </c>
      <c r="L4" s="3">
        <v>84.3</v>
      </c>
      <c r="M4" s="3">
        <v>82</v>
      </c>
      <c r="N4" s="1">
        <v>84.3</v>
      </c>
    </row>
    <row r="5" spans="1:14" x14ac:dyDescent="0.2">
      <c r="B5" s="4">
        <v>84.6</v>
      </c>
      <c r="C5" s="3">
        <v>84.6</v>
      </c>
      <c r="E5" s="3"/>
      <c r="F5" s="3"/>
      <c r="G5" s="3"/>
      <c r="H5" s="3">
        <v>84.8</v>
      </c>
      <c r="I5" s="3"/>
      <c r="J5" s="3">
        <v>84.457999999999998</v>
      </c>
      <c r="K5" s="3">
        <v>84.6</v>
      </c>
      <c r="L5" s="3">
        <v>84.5</v>
      </c>
      <c r="M5" s="3">
        <v>88.5</v>
      </c>
      <c r="N5" s="1">
        <v>84.3</v>
      </c>
    </row>
    <row r="6" spans="1:14" x14ac:dyDescent="0.2">
      <c r="B6" s="4">
        <v>84.5</v>
      </c>
      <c r="C6" s="3">
        <v>84.5</v>
      </c>
      <c r="E6" s="3"/>
      <c r="F6" s="3"/>
      <c r="G6" s="3"/>
      <c r="H6" s="3">
        <v>84.7</v>
      </c>
      <c r="I6" s="3"/>
      <c r="J6" s="3">
        <v>84.48</v>
      </c>
      <c r="K6" s="3">
        <v>84.6</v>
      </c>
      <c r="L6" s="3">
        <v>84.4</v>
      </c>
      <c r="M6" s="3">
        <v>83</v>
      </c>
      <c r="N6" s="1">
        <v>84.3</v>
      </c>
    </row>
    <row r="7" spans="1:14" x14ac:dyDescent="0.2">
      <c r="B7" s="4">
        <v>84.5</v>
      </c>
      <c r="C7" s="3">
        <v>84.5</v>
      </c>
      <c r="E7" s="3"/>
      <c r="F7" s="3"/>
      <c r="G7" s="3"/>
      <c r="H7" s="3">
        <v>84.7</v>
      </c>
      <c r="I7" s="3"/>
      <c r="J7" s="3">
        <v>84.466999999999999</v>
      </c>
      <c r="K7" s="3">
        <v>84.6</v>
      </c>
      <c r="L7" s="3">
        <v>84.4</v>
      </c>
      <c r="M7" s="3">
        <v>86.6</v>
      </c>
      <c r="N7" s="1">
        <v>84.4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tabSelected="1" workbookViewId="0">
      <selection activeCell="E16" sqref="E16"/>
    </sheetView>
  </sheetViews>
  <sheetFormatPr baseColWidth="10" defaultColWidth="14.5" defaultRowHeight="15" customHeight="1" x14ac:dyDescent="0.2"/>
  <cols>
    <col min="1" max="26" width="10.6640625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1"/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1:14" x14ac:dyDescent="0.2">
      <c r="B3" s="4">
        <v>41.2</v>
      </c>
      <c r="C3" s="3">
        <v>41.31</v>
      </c>
      <c r="E3" s="3">
        <v>41.08</v>
      </c>
      <c r="F3" s="3"/>
      <c r="G3" s="3"/>
      <c r="H3" s="3"/>
      <c r="I3" s="3"/>
      <c r="J3" s="3">
        <v>41.204000000000001</v>
      </c>
      <c r="K3" s="3">
        <v>41.4</v>
      </c>
      <c r="L3" s="3"/>
      <c r="M3" s="3">
        <v>41.25</v>
      </c>
      <c r="N3" s="1">
        <v>41.6</v>
      </c>
    </row>
    <row r="4" spans="1:14" x14ac:dyDescent="0.2">
      <c r="B4" s="4">
        <v>41.1</v>
      </c>
      <c r="C4" s="3">
        <v>41.57</v>
      </c>
      <c r="E4" s="3">
        <v>41.09</v>
      </c>
      <c r="F4" s="3"/>
      <c r="G4" s="3"/>
      <c r="H4" s="3"/>
      <c r="I4" s="3"/>
      <c r="J4" s="3">
        <v>41.12</v>
      </c>
      <c r="K4" s="3">
        <v>41.4</v>
      </c>
      <c r="L4" s="3"/>
      <c r="M4" s="3">
        <v>41.39</v>
      </c>
      <c r="N4" s="1">
        <v>41.5</v>
      </c>
    </row>
    <row r="5" spans="1:14" x14ac:dyDescent="0.2">
      <c r="B5" s="4">
        <v>41.2</v>
      </c>
      <c r="C5" s="3">
        <v>41.32</v>
      </c>
      <c r="E5" s="3">
        <v>41.08</v>
      </c>
      <c r="F5" s="3"/>
      <c r="G5" s="3"/>
      <c r="H5" s="3"/>
      <c r="I5" s="3"/>
      <c r="J5" s="3">
        <v>41.176000000000002</v>
      </c>
      <c r="K5" s="3">
        <v>41.4</v>
      </c>
      <c r="L5" s="3"/>
      <c r="M5" s="3">
        <v>41.34</v>
      </c>
      <c r="N5" s="1">
        <v>41.5</v>
      </c>
    </row>
    <row r="6" spans="1:14" x14ac:dyDescent="0.2">
      <c r="B6" s="4">
        <v>41.2</v>
      </c>
      <c r="C6" s="3">
        <v>41.26</v>
      </c>
      <c r="E6" s="3">
        <v>41.07</v>
      </c>
      <c r="F6" s="3"/>
      <c r="G6" s="3"/>
      <c r="H6" s="3"/>
      <c r="I6" s="3"/>
      <c r="J6" s="3">
        <v>41.13</v>
      </c>
      <c r="K6" s="3">
        <v>40.799999999999997</v>
      </c>
      <c r="L6" s="3"/>
      <c r="M6" s="3">
        <v>41.43</v>
      </c>
      <c r="N6" s="1">
        <v>41.4</v>
      </c>
    </row>
    <row r="7" spans="1:14" x14ac:dyDescent="0.2">
      <c r="B7" s="4">
        <v>41.2</v>
      </c>
      <c r="C7" s="3">
        <v>41.26</v>
      </c>
      <c r="E7" s="3">
        <v>41.09</v>
      </c>
      <c r="F7" s="3"/>
      <c r="G7" s="3"/>
      <c r="H7" s="3"/>
      <c r="I7" s="3"/>
      <c r="J7" s="3">
        <v>41.152000000000001</v>
      </c>
      <c r="K7" s="3">
        <v>40.700000000000003</v>
      </c>
      <c r="L7" s="3"/>
      <c r="M7" s="3">
        <v>41.39</v>
      </c>
      <c r="N7" s="1">
        <v>41.4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N7"/>
  <sheetViews>
    <sheetView topLeftCell="B1" workbookViewId="0">
      <selection activeCell="H34" sqref="H34"/>
    </sheetView>
  </sheetViews>
  <sheetFormatPr baseColWidth="10" defaultColWidth="14.5" defaultRowHeight="15" customHeight="1" x14ac:dyDescent="0.2"/>
  <cols>
    <col min="2" max="2" width="7" bestFit="1" customWidth="1"/>
  </cols>
  <sheetData>
    <row r="1" spans="2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x14ac:dyDescent="0.2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2:14" x14ac:dyDescent="0.2">
      <c r="B3" s="4">
        <v>120</v>
      </c>
      <c r="C3" s="3">
        <v>120.05</v>
      </c>
      <c r="D3" s="3">
        <v>134.72999999999999</v>
      </c>
      <c r="E3" s="3">
        <v>120.08</v>
      </c>
      <c r="F3" s="3">
        <v>120</v>
      </c>
      <c r="G3" s="5">
        <v>120.09</v>
      </c>
      <c r="H3" s="3">
        <v>120</v>
      </c>
      <c r="J3" s="3">
        <v>120.075</v>
      </c>
      <c r="K3" s="3">
        <v>120.06</v>
      </c>
      <c r="L3" s="3">
        <v>120.17</v>
      </c>
      <c r="N3" s="1">
        <v>120</v>
      </c>
    </row>
    <row r="4" spans="2:14" x14ac:dyDescent="0.2">
      <c r="B4" s="4">
        <v>120</v>
      </c>
      <c r="C4" s="3">
        <v>120.05</v>
      </c>
      <c r="D4" s="3">
        <v>135.19999999999999</v>
      </c>
      <c r="E4" s="3">
        <v>120.09</v>
      </c>
      <c r="F4" s="3">
        <v>120</v>
      </c>
      <c r="G4" s="5">
        <v>120.09</v>
      </c>
      <c r="H4" s="3">
        <v>120</v>
      </c>
      <c r="J4" s="3">
        <v>120.074</v>
      </c>
      <c r="K4" s="3">
        <v>120.04</v>
      </c>
      <c r="L4" s="3">
        <v>120.16</v>
      </c>
      <c r="N4" s="1">
        <v>120</v>
      </c>
    </row>
    <row r="5" spans="2:14" x14ac:dyDescent="0.2">
      <c r="B5" s="4">
        <v>120</v>
      </c>
      <c r="C5" s="3">
        <v>120.05</v>
      </c>
      <c r="D5" s="3">
        <v>135.27000000000001</v>
      </c>
      <c r="E5" s="3">
        <v>120.09</v>
      </c>
      <c r="F5" s="3">
        <v>119.9</v>
      </c>
      <c r="G5" s="5">
        <v>120.01</v>
      </c>
      <c r="H5" s="3">
        <v>120</v>
      </c>
      <c r="J5" s="3">
        <v>120.068</v>
      </c>
      <c r="K5" s="3">
        <v>120.06</v>
      </c>
      <c r="L5" s="3">
        <v>120.18</v>
      </c>
      <c r="N5" s="1">
        <v>120</v>
      </c>
    </row>
    <row r="6" spans="2:14" x14ac:dyDescent="0.2">
      <c r="B6" s="4">
        <v>120</v>
      </c>
      <c r="C6" s="3">
        <v>119.94</v>
      </c>
      <c r="D6" s="3">
        <v>135.5</v>
      </c>
      <c r="E6" s="3">
        <v>120.09</v>
      </c>
      <c r="F6" s="3">
        <v>120</v>
      </c>
      <c r="G6" s="5">
        <v>120.06</v>
      </c>
      <c r="H6" s="3">
        <v>120.2</v>
      </c>
      <c r="J6" s="3">
        <v>120.08499999999999</v>
      </c>
      <c r="K6" s="3">
        <v>119.9</v>
      </c>
      <c r="L6" s="3">
        <v>120.18</v>
      </c>
      <c r="N6" s="1">
        <v>120</v>
      </c>
    </row>
    <row r="7" spans="2:14" x14ac:dyDescent="0.2">
      <c r="B7" s="4">
        <v>120</v>
      </c>
      <c r="C7" s="3">
        <v>119.93</v>
      </c>
      <c r="D7" s="3">
        <v>135.37</v>
      </c>
      <c r="E7" s="3">
        <v>120.09</v>
      </c>
      <c r="F7" s="3">
        <v>119.9</v>
      </c>
      <c r="G7" s="5">
        <v>120.09</v>
      </c>
      <c r="H7" s="3">
        <v>120.2</v>
      </c>
      <c r="J7" s="3">
        <v>120.08499999999999</v>
      </c>
      <c r="K7" s="3">
        <v>120.06</v>
      </c>
      <c r="L7" s="3">
        <v>120.17</v>
      </c>
      <c r="N7" s="1">
        <v>120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B1:N7"/>
  <sheetViews>
    <sheetView workbookViewId="0">
      <selection activeCell="B2" sqref="B2:N2"/>
    </sheetView>
  </sheetViews>
  <sheetFormatPr baseColWidth="10" defaultColWidth="14.5" defaultRowHeight="15" customHeight="1" x14ac:dyDescent="0.2"/>
  <sheetData>
    <row r="1" spans="2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x14ac:dyDescent="0.2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2:14" x14ac:dyDescent="0.2">
      <c r="B3" s="4">
        <v>0.42</v>
      </c>
      <c r="C3" s="3">
        <v>0.46</v>
      </c>
      <c r="D3" s="3">
        <v>0.36199999999999999</v>
      </c>
      <c r="E3" s="3">
        <v>0.41</v>
      </c>
      <c r="F3" s="3">
        <v>0.42</v>
      </c>
      <c r="G3" s="4">
        <f>464.6/1000</f>
        <v>0.46460000000000001</v>
      </c>
      <c r="H3" s="3">
        <v>0.38</v>
      </c>
      <c r="J3" s="3">
        <v>0.41799999999999998</v>
      </c>
      <c r="K3" s="3">
        <v>0.4168</v>
      </c>
      <c r="L3" s="3">
        <v>0.42009999999999997</v>
      </c>
      <c r="N3" s="1">
        <v>0.41899999999999998</v>
      </c>
    </row>
    <row r="4" spans="2:14" x14ac:dyDescent="0.2">
      <c r="B4" s="4">
        <v>0.42</v>
      </c>
      <c r="C4" s="3">
        <v>0.47</v>
      </c>
      <c r="D4" s="3">
        <v>0.36</v>
      </c>
      <c r="E4" s="3">
        <v>0.41</v>
      </c>
      <c r="F4" s="3">
        <v>0.42</v>
      </c>
      <c r="G4" s="4">
        <f>465.3/1000</f>
        <v>0.46529999999999999</v>
      </c>
      <c r="H4" s="3">
        <v>0.38</v>
      </c>
      <c r="J4" s="3">
        <v>0.41699999999999998</v>
      </c>
      <c r="K4" s="3">
        <v>0.41670000000000001</v>
      </c>
      <c r="L4" s="3">
        <v>0.41980000000000001</v>
      </c>
      <c r="N4" s="1">
        <v>0.41899999999999998</v>
      </c>
    </row>
    <row r="5" spans="2:14" x14ac:dyDescent="0.2">
      <c r="B5" s="4">
        <v>0.42</v>
      </c>
      <c r="C5" s="3">
        <v>0.46</v>
      </c>
      <c r="D5" s="3">
        <v>0.36</v>
      </c>
      <c r="E5" s="3">
        <v>0.41</v>
      </c>
      <c r="F5" s="3">
        <v>0.42</v>
      </c>
      <c r="G5" s="4">
        <f>465.7/1000</f>
        <v>0.4657</v>
      </c>
      <c r="H5" s="3">
        <v>0.38</v>
      </c>
      <c r="J5" s="3">
        <v>0.41699999999999998</v>
      </c>
      <c r="K5" s="3">
        <v>0.41660000000000003</v>
      </c>
      <c r="L5" s="3">
        <v>0.41949999999999998</v>
      </c>
      <c r="N5" s="1">
        <v>0.41899999999999998</v>
      </c>
    </row>
    <row r="6" spans="2:14" x14ac:dyDescent="0.2">
      <c r="B6" s="4">
        <v>0.42</v>
      </c>
      <c r="C6" s="3">
        <v>0.46</v>
      </c>
      <c r="D6" s="3">
        <v>0.40300000000000002</v>
      </c>
      <c r="E6" s="3">
        <v>0.41</v>
      </c>
      <c r="F6" s="3">
        <v>0.42</v>
      </c>
      <c r="G6" s="4">
        <f>465.1/1000</f>
        <v>0.46510000000000001</v>
      </c>
      <c r="H6" s="3">
        <v>0.38</v>
      </c>
      <c r="J6" s="3">
        <v>0.41699999999999998</v>
      </c>
      <c r="K6" s="3">
        <v>0.41889999999999999</v>
      </c>
      <c r="L6" s="3">
        <v>0.41959999999999997</v>
      </c>
      <c r="N6" s="1">
        <v>0.41899999999999998</v>
      </c>
    </row>
    <row r="7" spans="2:14" x14ac:dyDescent="0.2">
      <c r="B7" s="4">
        <v>0.42</v>
      </c>
      <c r="C7" s="3">
        <v>0.46</v>
      </c>
      <c r="D7" s="3">
        <v>0.36</v>
      </c>
      <c r="E7" s="3">
        <v>0.41</v>
      </c>
      <c r="F7" s="3">
        <v>0.42</v>
      </c>
      <c r="G7" s="4">
        <f>465.6/1000</f>
        <v>0.46560000000000001</v>
      </c>
      <c r="H7" s="3">
        <v>0.38</v>
      </c>
      <c r="J7" s="3">
        <v>0.41699999999999998</v>
      </c>
      <c r="K7" s="3">
        <v>0.41670000000000001</v>
      </c>
      <c r="L7" s="3">
        <v>0.41970000000000002</v>
      </c>
      <c r="N7" s="1">
        <v>0.41899999999999998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1:N7"/>
  <sheetViews>
    <sheetView workbookViewId="0">
      <selection activeCell="B2" sqref="B2:N2"/>
    </sheetView>
  </sheetViews>
  <sheetFormatPr baseColWidth="10" defaultColWidth="14.5" defaultRowHeight="15" customHeight="1" x14ac:dyDescent="0.2"/>
  <sheetData>
    <row r="1" spans="2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x14ac:dyDescent="0.2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2:14" x14ac:dyDescent="0.2">
      <c r="B3" s="4">
        <v>46.3</v>
      </c>
      <c r="C3" s="3">
        <v>46.05</v>
      </c>
      <c r="D3" s="3">
        <v>46</v>
      </c>
      <c r="E3" s="3">
        <v>45.73</v>
      </c>
      <c r="F3" s="3">
        <v>46.4</v>
      </c>
      <c r="G3" s="5">
        <v>46.26</v>
      </c>
      <c r="H3" s="3">
        <v>45.8</v>
      </c>
      <c r="J3" s="3">
        <v>46.223999999999997</v>
      </c>
      <c r="K3" s="3">
        <v>46.11</v>
      </c>
      <c r="L3" s="3">
        <v>49.38</v>
      </c>
      <c r="N3" s="1">
        <v>46.2</v>
      </c>
    </row>
    <row r="4" spans="2:14" x14ac:dyDescent="0.2">
      <c r="B4" s="4">
        <v>46.3</v>
      </c>
      <c r="C4" s="3">
        <v>46.13</v>
      </c>
      <c r="D4" s="3">
        <v>45.83</v>
      </c>
      <c r="E4" s="3">
        <v>45.75</v>
      </c>
      <c r="F4" s="3">
        <v>46.43</v>
      </c>
      <c r="G4" s="5">
        <v>46.26</v>
      </c>
      <c r="H4" s="3">
        <v>45.8</v>
      </c>
      <c r="J4" s="3">
        <v>46.22</v>
      </c>
      <c r="K4" s="3">
        <v>46.09</v>
      </c>
      <c r="L4" s="3">
        <v>49.34</v>
      </c>
      <c r="N4" s="1">
        <v>46.2</v>
      </c>
    </row>
    <row r="5" spans="2:14" x14ac:dyDescent="0.2">
      <c r="B5" s="4">
        <v>46.3</v>
      </c>
      <c r="C5" s="3">
        <v>46.04</v>
      </c>
      <c r="D5" s="3">
        <v>45.8</v>
      </c>
      <c r="E5" s="3">
        <v>45.76</v>
      </c>
      <c r="F5" s="3">
        <v>46.47</v>
      </c>
      <c r="G5" s="5">
        <v>46.27</v>
      </c>
      <c r="H5" s="3">
        <v>45.9</v>
      </c>
      <c r="J5" s="3">
        <v>46.198999999999998</v>
      </c>
      <c r="K5" s="3">
        <v>46.09</v>
      </c>
      <c r="L5" s="3">
        <v>49.32</v>
      </c>
      <c r="N5" s="1">
        <v>46.2</v>
      </c>
    </row>
    <row r="6" spans="2:14" x14ac:dyDescent="0.2">
      <c r="B6" s="4">
        <v>46.3</v>
      </c>
      <c r="C6" s="3">
        <v>46.07</v>
      </c>
      <c r="D6" s="3">
        <v>45.8</v>
      </c>
      <c r="E6" s="3">
        <v>45.73</v>
      </c>
      <c r="F6" s="3">
        <v>46.41</v>
      </c>
      <c r="G6" s="5">
        <v>46.25</v>
      </c>
      <c r="H6" s="3">
        <v>45.9</v>
      </c>
      <c r="J6" s="3">
        <v>46.183</v>
      </c>
      <c r="K6" s="3">
        <v>46.34</v>
      </c>
      <c r="L6" s="3">
        <v>49.33</v>
      </c>
      <c r="N6" s="1">
        <v>46.2</v>
      </c>
    </row>
    <row r="7" spans="2:14" x14ac:dyDescent="0.2">
      <c r="B7" s="4">
        <v>46.3</v>
      </c>
      <c r="C7" s="3">
        <v>46.06</v>
      </c>
      <c r="D7" s="3">
        <v>45.8</v>
      </c>
      <c r="E7" s="3">
        <v>45.72</v>
      </c>
      <c r="F7" s="3">
        <v>46.37</v>
      </c>
      <c r="G7" s="5">
        <v>46.26</v>
      </c>
      <c r="H7" s="3">
        <v>45.9</v>
      </c>
      <c r="J7" s="3">
        <v>46.203000000000003</v>
      </c>
      <c r="K7" s="3">
        <v>46.09</v>
      </c>
      <c r="L7" s="3">
        <v>49.33</v>
      </c>
      <c r="N7" s="1">
        <v>46.2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1:N7"/>
  <sheetViews>
    <sheetView workbookViewId="0">
      <selection activeCell="B2" sqref="B2:N2"/>
    </sheetView>
  </sheetViews>
  <sheetFormatPr baseColWidth="10" defaultColWidth="14.5" defaultRowHeight="15" customHeight="1" x14ac:dyDescent="0.2"/>
  <sheetData>
    <row r="1" spans="2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x14ac:dyDescent="0.2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2:14" x14ac:dyDescent="0.2">
      <c r="B3" s="4">
        <v>25</v>
      </c>
      <c r="D3" s="3">
        <v>22.9</v>
      </c>
      <c r="G3" s="3">
        <v>24.8</v>
      </c>
      <c r="I3" s="3">
        <v>24.4</v>
      </c>
      <c r="J3" s="3">
        <v>25.1</v>
      </c>
    </row>
    <row r="4" spans="2:14" x14ac:dyDescent="0.2">
      <c r="B4" s="4">
        <v>26.9</v>
      </c>
      <c r="D4" s="3">
        <v>22.9</v>
      </c>
      <c r="G4" s="3">
        <v>24.7</v>
      </c>
      <c r="I4" s="3">
        <v>24.4</v>
      </c>
      <c r="J4" s="3">
        <v>25.1</v>
      </c>
    </row>
    <row r="5" spans="2:14" x14ac:dyDescent="0.2">
      <c r="B5" s="4">
        <v>24.8</v>
      </c>
      <c r="D5" s="3">
        <v>22.9</v>
      </c>
      <c r="G5" s="3">
        <v>25</v>
      </c>
      <c r="I5" s="3">
        <v>24.4</v>
      </c>
      <c r="J5" s="3">
        <v>25.1</v>
      </c>
    </row>
    <row r="6" spans="2:14" x14ac:dyDescent="0.2">
      <c r="B6" s="4">
        <v>25.2</v>
      </c>
      <c r="D6" s="3">
        <v>22.9</v>
      </c>
      <c r="G6" s="3">
        <v>24.8</v>
      </c>
      <c r="I6" s="3">
        <v>24.5</v>
      </c>
      <c r="J6" s="3">
        <v>25.1</v>
      </c>
    </row>
    <row r="7" spans="2:14" x14ac:dyDescent="0.2">
      <c r="B7" s="4">
        <v>25</v>
      </c>
      <c r="D7" s="3">
        <v>22.9</v>
      </c>
      <c r="G7" s="3">
        <v>25.2</v>
      </c>
      <c r="I7" s="3">
        <v>24.6</v>
      </c>
      <c r="J7" s="3">
        <v>25.1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1:N7"/>
  <sheetViews>
    <sheetView workbookViewId="0">
      <selection activeCell="M15" sqref="M15"/>
    </sheetView>
  </sheetViews>
  <sheetFormatPr baseColWidth="10" defaultColWidth="14.5" defaultRowHeight="15" customHeight="1" x14ac:dyDescent="0.2"/>
  <sheetData>
    <row r="1" spans="2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x14ac:dyDescent="0.2"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  <row r="3" spans="2:14" x14ac:dyDescent="0.2">
      <c r="B3" s="4">
        <v>29</v>
      </c>
      <c r="D3" s="3">
        <v>46</v>
      </c>
      <c r="G3" s="3">
        <v>59.4</v>
      </c>
      <c r="J3" s="3">
        <v>32</v>
      </c>
    </row>
    <row r="4" spans="2:14" x14ac:dyDescent="0.2">
      <c r="B4" s="4">
        <v>31</v>
      </c>
      <c r="D4" s="3">
        <v>46</v>
      </c>
      <c r="G4" s="3">
        <v>57.8</v>
      </c>
      <c r="J4" s="3">
        <v>32</v>
      </c>
    </row>
    <row r="5" spans="2:14" x14ac:dyDescent="0.2">
      <c r="B5" s="4">
        <v>28</v>
      </c>
      <c r="D5" s="3">
        <v>46</v>
      </c>
      <c r="G5" s="3">
        <v>57.9</v>
      </c>
      <c r="J5" s="3">
        <v>32</v>
      </c>
    </row>
    <row r="6" spans="2:14" x14ac:dyDescent="0.2">
      <c r="B6" s="4">
        <v>27</v>
      </c>
      <c r="D6" s="3">
        <v>46</v>
      </c>
      <c r="G6" s="3">
        <v>53.1</v>
      </c>
      <c r="J6" s="3">
        <v>32</v>
      </c>
    </row>
    <row r="7" spans="2:14" x14ac:dyDescent="0.2">
      <c r="B7" s="4">
        <v>26</v>
      </c>
      <c r="D7" s="3">
        <v>46</v>
      </c>
      <c r="G7" s="3">
        <v>56</v>
      </c>
      <c r="J7" s="3">
        <v>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Eficacia Luminosa</vt:lpstr>
      <vt:lpstr>Flujo luminoso</vt:lpstr>
      <vt:lpstr>Temperatura de Color</vt:lpstr>
      <vt:lpstr>Factor de Potencia</vt:lpstr>
      <vt:lpstr>Indice de Rendimiento</vt:lpstr>
      <vt:lpstr>Distorsion Armonica</vt:lpstr>
      <vt:lpstr>Voltaje</vt:lpstr>
      <vt:lpstr>Corriente</vt:lpstr>
      <vt:lpstr>Potencia</vt:lpstr>
      <vt:lpstr>Temperatura</vt:lpstr>
      <vt:lpstr>Humedad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liee inaoe</dc:creator>
  <cp:lastModifiedBy>DIEGO PASTOR SANCHEZ</cp:lastModifiedBy>
  <dcterms:created xsi:type="dcterms:W3CDTF">2025-04-09T18:20:56Z</dcterms:created>
  <dcterms:modified xsi:type="dcterms:W3CDTF">2025-09-10T01:20:08Z</dcterms:modified>
</cp:coreProperties>
</file>